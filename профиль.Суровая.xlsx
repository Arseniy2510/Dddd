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2" i="2"/>
  <c r="E13" i="2"/>
  <c r="E14" i="2"/>
  <c r="E15" i="2"/>
  <c r="E16" i="2"/>
  <c r="E17" i="2"/>
  <c r="E18" i="2"/>
  <c r="E19" i="2"/>
  <c r="E20" i="2"/>
  <c r="E12" i="2"/>
  <c r="H11" i="2"/>
  <c r="H12" i="2"/>
  <c r="H10" i="2"/>
  <c r="G18" i="2"/>
  <c r="G19" i="2"/>
  <c r="G20" i="2"/>
  <c r="G17" i="2"/>
  <c r="D3" i="2"/>
  <c r="D4" i="2"/>
  <c r="D5" i="2"/>
  <c r="D6" i="2"/>
  <c r="D7" i="2"/>
  <c r="D8" i="2"/>
  <c r="D9" i="2"/>
  <c r="D10" i="2"/>
  <c r="D2" i="2"/>
  <c r="C13" i="2"/>
  <c r="C14" i="2"/>
  <c r="C15" i="2"/>
  <c r="C16" i="2"/>
  <c r="C17" i="2"/>
  <c r="C18" i="2"/>
  <c r="C19" i="2"/>
  <c r="C20" i="2"/>
  <c r="C12" i="2"/>
  <c r="B3" i="2"/>
  <c r="B4" i="2"/>
  <c r="B5" i="2"/>
  <c r="B6" i="2"/>
  <c r="B7" i="2"/>
  <c r="B8" i="2"/>
  <c r="B9" i="2"/>
  <c r="B10" i="2"/>
  <c r="B2" i="2"/>
  <c r="G11" i="1"/>
  <c r="G12" i="1"/>
  <c r="G13" i="1"/>
  <c r="G14" i="1"/>
  <c r="G15" i="1"/>
  <c r="G16" i="1"/>
  <c r="G10" i="1"/>
  <c r="B16" i="1"/>
  <c r="C16" i="1"/>
  <c r="F11" i="1"/>
  <c r="F12" i="1"/>
  <c r="F13" i="1"/>
  <c r="F14" i="1"/>
  <c r="F10" i="1"/>
  <c r="B14" i="1"/>
  <c r="C14" i="1"/>
  <c r="E21" i="1"/>
  <c r="E22" i="1"/>
  <c r="E23" i="1"/>
  <c r="E24" i="1"/>
  <c r="E25" i="1"/>
  <c r="E26" i="1"/>
  <c r="E27" i="1"/>
  <c r="E28" i="1"/>
  <c r="E20" i="1"/>
  <c r="D2" i="1"/>
  <c r="C11" i="1"/>
  <c r="C12" i="1"/>
  <c r="C13" i="1"/>
  <c r="C15" i="1"/>
  <c r="C17" i="1"/>
  <c r="C18" i="1"/>
  <c r="C19" i="1"/>
  <c r="C20" i="1"/>
  <c r="C10" i="1"/>
  <c r="D3" i="1"/>
  <c r="D4" i="1"/>
  <c r="D5" i="1"/>
  <c r="D6" i="1"/>
  <c r="D7" i="1"/>
  <c r="D8" i="1"/>
  <c r="D9" i="1"/>
  <c r="D10" i="1"/>
  <c r="B3" i="1"/>
  <c r="B4" i="1"/>
  <c r="B5" i="1"/>
  <c r="B6" i="1"/>
  <c r="B7" i="1"/>
  <c r="B8" i="1"/>
  <c r="B9" i="1"/>
  <c r="B10" i="1"/>
  <c r="B11" i="1"/>
  <c r="B12" i="1"/>
  <c r="B13" i="1"/>
  <c r="B15" i="1"/>
  <c r="B17" i="1"/>
  <c r="B18" i="1"/>
  <c r="B19" i="1"/>
  <c r="B20" i="1"/>
  <c r="B21" i="1"/>
  <c r="B22" i="1"/>
  <c r="B23" i="1"/>
  <c r="B24" i="1"/>
  <c r="B25" i="1"/>
  <c r="B26" i="1"/>
  <c r="B27" i="1"/>
  <c r="B28" i="1"/>
  <c r="B2" i="1"/>
</calcChain>
</file>

<file path=xl/sharedStrings.xml><?xml version="1.0" encoding="utf-8"?>
<sst xmlns="http://schemas.openxmlformats.org/spreadsheetml/2006/main" count="15" uniqueCount="8">
  <si>
    <t>x</t>
  </si>
  <si>
    <t>y1</t>
  </si>
  <si>
    <t>y2</t>
  </si>
  <si>
    <t>y3</t>
  </si>
  <si>
    <t>y4</t>
  </si>
  <si>
    <t>y5</t>
  </si>
  <si>
    <t>y6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</si>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</sst>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Лист1!$A$2:$A$28</c:f>
              <c:numCache>
                <c:formatCode>General</c:formatCode>
                <c:ptCount val="27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-0.3</c:v>
                </c:pt>
                <c:pt idx="13">
                  <c:v>0</c:v>
                </c:pt>
                <c:pt idx="14">
                  <c:v>0.2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xVal>
          <c:yVal>
            <c:numRef>
              <c:f>Лист1!$B$2:$B$28</c:f>
              <c:numCache>
                <c:formatCode>General</c:formatCode>
                <c:ptCount val="27"/>
                <c:pt idx="0">
                  <c:v>4</c:v>
                </c:pt>
                <c:pt idx="1">
                  <c:v>5.2777777777777786</c:v>
                </c:pt>
                <c:pt idx="2">
                  <c:v>6.4444444444444446</c:v>
                </c:pt>
                <c:pt idx="3">
                  <c:v>7.5</c:v>
                </c:pt>
                <c:pt idx="4">
                  <c:v>8.4444444444444446</c:v>
                </c:pt>
                <c:pt idx="5">
                  <c:v>9.2777777777777786</c:v>
                </c:pt>
                <c:pt idx="6">
                  <c:v>10</c:v>
                </c:pt>
                <c:pt idx="7">
                  <c:v>10.611111111111111</c:v>
                </c:pt>
                <c:pt idx="8">
                  <c:v>11.111111111111111</c:v>
                </c:pt>
                <c:pt idx="9">
                  <c:v>11.5</c:v>
                </c:pt>
                <c:pt idx="10">
                  <c:v>11.777777777777779</c:v>
                </c:pt>
                <c:pt idx="11">
                  <c:v>11.944444444444445</c:v>
                </c:pt>
                <c:pt idx="12">
                  <c:v>11.994999999999999</c:v>
                </c:pt>
                <c:pt idx="13">
                  <c:v>12</c:v>
                </c:pt>
                <c:pt idx="14">
                  <c:v>11.997777777777777</c:v>
                </c:pt>
                <c:pt idx="15">
                  <c:v>11.944444444444445</c:v>
                </c:pt>
                <c:pt idx="16">
                  <c:v>11.777777777777779</c:v>
                </c:pt>
                <c:pt idx="17">
                  <c:v>11.5</c:v>
                </c:pt>
                <c:pt idx="18">
                  <c:v>11.111111111111111</c:v>
                </c:pt>
                <c:pt idx="19">
                  <c:v>10.611111111111111</c:v>
                </c:pt>
                <c:pt idx="20">
                  <c:v>10</c:v>
                </c:pt>
                <c:pt idx="21">
                  <c:v>9.2777777777777786</c:v>
                </c:pt>
                <c:pt idx="22">
                  <c:v>8.4444444444444446</c:v>
                </c:pt>
                <c:pt idx="23">
                  <c:v>7.5</c:v>
                </c:pt>
                <c:pt idx="24">
                  <c:v>6.4444444444444446</c:v>
                </c:pt>
                <c:pt idx="25">
                  <c:v>5.2777777777777786</c:v>
                </c:pt>
                <c:pt idx="2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C-4909-983E-5AAD5695733D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Лист1!$A$2:$A$28</c:f>
              <c:numCache>
                <c:formatCode>General</c:formatCode>
                <c:ptCount val="27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-0.3</c:v>
                </c:pt>
                <c:pt idx="13">
                  <c:v>0</c:v>
                </c:pt>
                <c:pt idx="14">
                  <c:v>0.2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xVal>
          <c:yVal>
            <c:numRef>
              <c:f>Лист1!$C$2:$C$28</c:f>
              <c:numCache>
                <c:formatCode>General</c:formatCode>
                <c:ptCount val="27"/>
                <c:pt idx="8">
                  <c:v>4</c:v>
                </c:pt>
                <c:pt idx="9">
                  <c:v>4.875</c:v>
                </c:pt>
                <c:pt idx="10">
                  <c:v>5.5</c:v>
                </c:pt>
                <c:pt idx="11">
                  <c:v>5.875</c:v>
                </c:pt>
                <c:pt idx="12">
                  <c:v>5.9887499999999996</c:v>
                </c:pt>
                <c:pt idx="13">
                  <c:v>6</c:v>
                </c:pt>
                <c:pt idx="14">
                  <c:v>5.9950000000000001</c:v>
                </c:pt>
                <c:pt idx="15">
                  <c:v>5.875</c:v>
                </c:pt>
                <c:pt idx="16">
                  <c:v>5.5</c:v>
                </c:pt>
                <c:pt idx="17">
                  <c:v>4.875</c:v>
                </c:pt>
                <c:pt idx="1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0C-4909-983E-5AAD5695733D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Лист1!$A$2:$A$28</c:f>
              <c:numCache>
                <c:formatCode>General</c:formatCode>
                <c:ptCount val="27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-0.3</c:v>
                </c:pt>
                <c:pt idx="13">
                  <c:v>0</c:v>
                </c:pt>
                <c:pt idx="14">
                  <c:v>0.2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xVal>
          <c:yVal>
            <c:numRef>
              <c:f>Лист1!$D$2:$D$28</c:f>
              <c:numCache>
                <c:formatCode>General</c:formatCode>
                <c:ptCount val="27"/>
                <c:pt idx="0">
                  <c:v>4</c:v>
                </c:pt>
                <c:pt idx="1">
                  <c:v>4.875</c:v>
                </c:pt>
                <c:pt idx="2">
                  <c:v>5.5</c:v>
                </c:pt>
                <c:pt idx="3">
                  <c:v>5.875</c:v>
                </c:pt>
                <c:pt idx="4">
                  <c:v>6</c:v>
                </c:pt>
                <c:pt idx="5">
                  <c:v>5.875</c:v>
                </c:pt>
                <c:pt idx="6">
                  <c:v>5.5</c:v>
                </c:pt>
                <c:pt idx="7">
                  <c:v>4.875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0C-4909-983E-5AAD5695733D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Лист1!$A$2:$A$28</c:f>
              <c:numCache>
                <c:formatCode>General</c:formatCode>
                <c:ptCount val="27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-0.3</c:v>
                </c:pt>
                <c:pt idx="13">
                  <c:v>0</c:v>
                </c:pt>
                <c:pt idx="14">
                  <c:v>0.2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xVal>
          <c:yVal>
            <c:numRef>
              <c:f>Лист1!$E$2:$E$28</c:f>
              <c:numCache>
                <c:formatCode>General</c:formatCode>
                <c:ptCount val="27"/>
                <c:pt idx="18">
                  <c:v>4</c:v>
                </c:pt>
                <c:pt idx="19">
                  <c:v>4.875</c:v>
                </c:pt>
                <c:pt idx="20">
                  <c:v>5.5</c:v>
                </c:pt>
                <c:pt idx="21">
                  <c:v>5.875</c:v>
                </c:pt>
                <c:pt idx="22">
                  <c:v>6</c:v>
                </c:pt>
                <c:pt idx="23">
                  <c:v>5.875</c:v>
                </c:pt>
                <c:pt idx="24">
                  <c:v>5.5</c:v>
                </c:pt>
                <c:pt idx="25">
                  <c:v>4.875</c:v>
                </c:pt>
                <c:pt idx="2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0C-4909-983E-5AAD5695733D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Лист1!$A$2:$A$28</c:f>
              <c:numCache>
                <c:formatCode>General</c:formatCode>
                <c:ptCount val="27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-0.3</c:v>
                </c:pt>
                <c:pt idx="13">
                  <c:v>0</c:v>
                </c:pt>
                <c:pt idx="14">
                  <c:v>0.2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xVal>
          <c:yVal>
            <c:numRef>
              <c:f>Лист1!$F$2:$F$28</c:f>
              <c:numCache>
                <c:formatCode>General</c:formatCode>
                <c:ptCount val="27"/>
                <c:pt idx="8">
                  <c:v>-7</c:v>
                </c:pt>
                <c:pt idx="9">
                  <c:v>-9</c:v>
                </c:pt>
                <c:pt idx="10">
                  <c:v>-7</c:v>
                </c:pt>
                <c:pt idx="11">
                  <c:v>-1</c:v>
                </c:pt>
                <c:pt idx="12">
                  <c:v>5.5800000000000018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0C-4909-983E-5AAD5695733D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Лист1!$A$2:$A$28</c:f>
              <c:numCache>
                <c:formatCode>General</c:formatCode>
                <c:ptCount val="27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-0.3</c:v>
                </c:pt>
                <c:pt idx="13">
                  <c:v>0</c:v>
                </c:pt>
                <c:pt idx="14">
                  <c:v>0.2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xVal>
          <c:yVal>
            <c:numRef>
              <c:f>Лист1!$G$2:$G$28</c:f>
              <c:numCache>
                <c:formatCode>General</c:formatCode>
                <c:ptCount val="27"/>
                <c:pt idx="8">
                  <c:v>-8.5</c:v>
                </c:pt>
                <c:pt idx="9">
                  <c:v>-10</c:v>
                </c:pt>
                <c:pt idx="10">
                  <c:v>-8.5</c:v>
                </c:pt>
                <c:pt idx="11">
                  <c:v>-4</c:v>
                </c:pt>
                <c:pt idx="12">
                  <c:v>0.93500000000000227</c:v>
                </c:pt>
                <c:pt idx="13">
                  <c:v>3.5</c:v>
                </c:pt>
                <c:pt idx="14">
                  <c:v>5.360000000000003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0C-4909-983E-5AAD5695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300111"/>
        <c:axId val="870298031"/>
      </c:scatterChart>
      <c:valAx>
        <c:axId val="87030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0298031"/>
        <c:crosses val="autoZero"/>
        <c:crossBetween val="midCat"/>
      </c:valAx>
      <c:valAx>
        <c:axId val="87029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030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Лист2!$A$2:$A$21</c:f>
              <c:numCache>
                <c:formatCode>General</c:formatCode>
                <c:ptCount val="20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Лист2!$B$2:$B$21</c:f>
              <c:numCache>
                <c:formatCode>General</c:formatCode>
                <c:ptCount val="20"/>
                <c:pt idx="0">
                  <c:v>1</c:v>
                </c:pt>
                <c:pt idx="1">
                  <c:v>1.4375</c:v>
                </c:pt>
                <c:pt idx="2">
                  <c:v>1.75</c:v>
                </c:pt>
                <c:pt idx="3">
                  <c:v>1.9375</c:v>
                </c:pt>
                <c:pt idx="4">
                  <c:v>2</c:v>
                </c:pt>
                <c:pt idx="5">
                  <c:v>1.9375</c:v>
                </c:pt>
                <c:pt idx="6">
                  <c:v>1.75</c:v>
                </c:pt>
                <c:pt idx="7">
                  <c:v>1.4375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1D-4401-B76C-4AC872D917BE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Лист2!$A$2:$A$21</c:f>
              <c:numCache>
                <c:formatCode>General</c:formatCode>
                <c:ptCount val="20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Лист2!$C$2:$C$21</c:f>
              <c:numCache>
                <c:formatCode>General</c:formatCode>
                <c:ptCount val="20"/>
                <c:pt idx="10">
                  <c:v>1</c:v>
                </c:pt>
                <c:pt idx="11">
                  <c:v>1.4375</c:v>
                </c:pt>
                <c:pt idx="12">
                  <c:v>1.75</c:v>
                </c:pt>
                <c:pt idx="13">
                  <c:v>1.9375</c:v>
                </c:pt>
                <c:pt idx="14">
                  <c:v>2</c:v>
                </c:pt>
                <c:pt idx="15">
                  <c:v>1.9375</c:v>
                </c:pt>
                <c:pt idx="16">
                  <c:v>1.75</c:v>
                </c:pt>
                <c:pt idx="17">
                  <c:v>1.4375</c:v>
                </c:pt>
                <c:pt idx="1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1D-4401-B76C-4AC872D917BE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Лист2!$A$2:$A$21</c:f>
              <c:numCache>
                <c:formatCode>General</c:formatCode>
                <c:ptCount val="20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Лист2!$D$2:$D$21</c:f>
              <c:numCache>
                <c:formatCode>General</c:formatCode>
                <c:ptCount val="20"/>
                <c:pt idx="0">
                  <c:v>1</c:v>
                </c:pt>
                <c:pt idx="1">
                  <c:v>-0.75</c:v>
                </c:pt>
                <c:pt idx="2">
                  <c:v>-2</c:v>
                </c:pt>
                <c:pt idx="3">
                  <c:v>-2.75</c:v>
                </c:pt>
                <c:pt idx="4">
                  <c:v>-3</c:v>
                </c:pt>
                <c:pt idx="5">
                  <c:v>-2.75</c:v>
                </c:pt>
                <c:pt idx="6">
                  <c:v>-2</c:v>
                </c:pt>
                <c:pt idx="7">
                  <c:v>-0.75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1D-4401-B76C-4AC872D917BE}"/>
            </c:ext>
          </c:extLst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Лист2!$A$2:$A$21</c:f>
              <c:numCache>
                <c:formatCode>General</c:formatCode>
                <c:ptCount val="20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Лист2!$E$2:$E$21</c:f>
              <c:numCache>
                <c:formatCode>General</c:formatCode>
                <c:ptCount val="20"/>
                <c:pt idx="10">
                  <c:v>1</c:v>
                </c:pt>
                <c:pt idx="11">
                  <c:v>-0.75</c:v>
                </c:pt>
                <c:pt idx="12">
                  <c:v>-2</c:v>
                </c:pt>
                <c:pt idx="13">
                  <c:v>-2.75</c:v>
                </c:pt>
                <c:pt idx="14">
                  <c:v>-3</c:v>
                </c:pt>
                <c:pt idx="15">
                  <c:v>-2.75</c:v>
                </c:pt>
                <c:pt idx="16">
                  <c:v>-2</c:v>
                </c:pt>
                <c:pt idx="17">
                  <c:v>-0.75</c:v>
                </c:pt>
                <c:pt idx="1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1D-4401-B76C-4AC872D917BE}"/>
            </c:ext>
          </c:extLst>
        </c:ser>
        <c:ser>
          <c:idx val="4"/>
          <c:order val="4"/>
          <c:tx>
            <c:strRef>
              <c:f>Лист2!$F$1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Лист2!$A$2:$A$21</c:f>
              <c:numCache>
                <c:formatCode>General</c:formatCode>
                <c:ptCount val="20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Лист2!$F$2:$F$21</c:f>
              <c:numCache>
                <c:formatCode>General</c:formatCode>
                <c:ptCount val="20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1D-4401-B76C-4AC872D917BE}"/>
            </c:ext>
          </c:extLst>
        </c:ser>
        <c:ser>
          <c:idx val="5"/>
          <c:order val="5"/>
          <c:tx>
            <c:strRef>
              <c:f>Лист2!$G$1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Лист2!$A$2:$A$21</c:f>
              <c:numCache>
                <c:formatCode>General</c:formatCode>
                <c:ptCount val="20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Лист2!$G$2:$G$21</c:f>
              <c:numCache>
                <c:formatCode>General</c:formatCode>
                <c:ptCount val="20"/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1D-4401-B76C-4AC872D917BE}"/>
            </c:ext>
          </c:extLst>
        </c:ser>
        <c:ser>
          <c:idx val="6"/>
          <c:order val="6"/>
          <c:tx>
            <c:strRef>
              <c:f>Лист2!$H$1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Лист2!$A$2:$A$21</c:f>
              <c:numCache>
                <c:formatCode>General</c:formatCode>
                <c:ptCount val="20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Лист2!$H$2:$H$21</c:f>
              <c:numCache>
                <c:formatCode>General</c:formatCode>
                <c:ptCount val="20"/>
                <c:pt idx="8">
                  <c:v>1</c:v>
                </c:pt>
                <c:pt idx="9">
                  <c:v>1.5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1D-4401-B76C-4AC872D91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193743"/>
        <c:axId val="1192191247"/>
      </c:scatterChart>
      <c:valAx>
        <c:axId val="119219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191247"/>
        <c:crosses val="autoZero"/>
        <c:crossBetween val="midCat"/>
      </c:valAx>
      <c:valAx>
        <c:axId val="119219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193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2</xdr:row>
      <xdr:rowOff>104775</xdr:rowOff>
    </xdr:from>
    <xdr:to>
      <xdr:col>15</xdr:col>
      <xdr:colOff>57150</xdr:colOff>
      <xdr:row>16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4</xdr:row>
      <xdr:rowOff>0</xdr:rowOff>
    </xdr:from>
    <xdr:to>
      <xdr:col>15</xdr:col>
      <xdr:colOff>533400</xdr:colOff>
      <xdr:row>18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Q17" sqref="Q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-12</v>
      </c>
      <c r="B2">
        <f>-(1/18)*A2^2+12</f>
        <v>4</v>
      </c>
      <c r="D2">
        <f>-(1/8)*(A2+8)^2+6</f>
        <v>4</v>
      </c>
    </row>
    <row r="3" spans="1:7" x14ac:dyDescent="0.25">
      <c r="A3">
        <v>-11</v>
      </c>
      <c r="B3">
        <f t="shared" ref="B3:B28" si="0">-(1/18)*A3^2+12</f>
        <v>5.2777777777777786</v>
      </c>
      <c r="D3">
        <f t="shared" ref="D3:D10" si="1">-(1/8)*(A3+8)^2+6</f>
        <v>4.875</v>
      </c>
    </row>
    <row r="4" spans="1:7" x14ac:dyDescent="0.25">
      <c r="A4">
        <v>-10</v>
      </c>
      <c r="B4">
        <f t="shared" si="0"/>
        <v>6.4444444444444446</v>
      </c>
      <c r="D4">
        <f t="shared" si="1"/>
        <v>5.5</v>
      </c>
    </row>
    <row r="5" spans="1:7" x14ac:dyDescent="0.25">
      <c r="A5">
        <v>-9</v>
      </c>
      <c r="B5">
        <f t="shared" si="0"/>
        <v>7.5</v>
      </c>
      <c r="D5">
        <f t="shared" si="1"/>
        <v>5.875</v>
      </c>
    </row>
    <row r="6" spans="1:7" x14ac:dyDescent="0.25">
      <c r="A6">
        <v>-8</v>
      </c>
      <c r="B6">
        <f t="shared" si="0"/>
        <v>8.4444444444444446</v>
      </c>
      <c r="D6">
        <f t="shared" si="1"/>
        <v>6</v>
      </c>
    </row>
    <row r="7" spans="1:7" x14ac:dyDescent="0.25">
      <c r="A7">
        <v>-7</v>
      </c>
      <c r="B7">
        <f t="shared" si="0"/>
        <v>9.2777777777777786</v>
      </c>
      <c r="D7">
        <f t="shared" si="1"/>
        <v>5.875</v>
      </c>
    </row>
    <row r="8" spans="1:7" x14ac:dyDescent="0.25">
      <c r="A8">
        <v>-6</v>
      </c>
      <c r="B8">
        <f t="shared" si="0"/>
        <v>10</v>
      </c>
      <c r="D8">
        <f t="shared" si="1"/>
        <v>5.5</v>
      </c>
    </row>
    <row r="9" spans="1:7" x14ac:dyDescent="0.25">
      <c r="A9">
        <v>-5</v>
      </c>
      <c r="B9">
        <f t="shared" si="0"/>
        <v>10.611111111111111</v>
      </c>
      <c r="D9">
        <f t="shared" si="1"/>
        <v>4.875</v>
      </c>
    </row>
    <row r="10" spans="1:7" x14ac:dyDescent="0.25">
      <c r="A10">
        <v>-4</v>
      </c>
      <c r="B10">
        <f t="shared" si="0"/>
        <v>11.111111111111111</v>
      </c>
      <c r="C10">
        <f>-(1/8)*A10^2+6</f>
        <v>4</v>
      </c>
      <c r="D10">
        <f t="shared" si="1"/>
        <v>4</v>
      </c>
      <c r="F10">
        <f>2*(A10+3)^2-9</f>
        <v>-7</v>
      </c>
      <c r="G10">
        <f>1.5*(A10+3)^2-10</f>
        <v>-8.5</v>
      </c>
    </row>
    <row r="11" spans="1:7" x14ac:dyDescent="0.25">
      <c r="A11">
        <v>-3</v>
      </c>
      <c r="B11">
        <f t="shared" si="0"/>
        <v>11.5</v>
      </c>
      <c r="C11">
        <f t="shared" ref="C11:C20" si="2">-(1/8)*A11^2+6</f>
        <v>4.875</v>
      </c>
      <c r="F11">
        <f t="shared" ref="F11:F14" si="3">2*(A11+3)^2-9</f>
        <v>-9</v>
      </c>
      <c r="G11">
        <f t="shared" ref="G11:G16" si="4">1.5*(A11+3)^2-10</f>
        <v>-10</v>
      </c>
    </row>
    <row r="12" spans="1:7" x14ac:dyDescent="0.25">
      <c r="A12">
        <v>-2</v>
      </c>
      <c r="B12">
        <f t="shared" si="0"/>
        <v>11.777777777777779</v>
      </c>
      <c r="C12">
        <f t="shared" si="2"/>
        <v>5.5</v>
      </c>
      <c r="F12">
        <f t="shared" si="3"/>
        <v>-7</v>
      </c>
      <c r="G12">
        <f t="shared" si="4"/>
        <v>-8.5</v>
      </c>
    </row>
    <row r="13" spans="1:7" x14ac:dyDescent="0.25">
      <c r="A13">
        <v>-1</v>
      </c>
      <c r="B13">
        <f t="shared" si="0"/>
        <v>11.944444444444445</v>
      </c>
      <c r="C13">
        <f t="shared" si="2"/>
        <v>5.875</v>
      </c>
      <c r="F13">
        <f t="shared" si="3"/>
        <v>-1</v>
      </c>
      <c r="G13">
        <f t="shared" si="4"/>
        <v>-4</v>
      </c>
    </row>
    <row r="14" spans="1:7" x14ac:dyDescent="0.25">
      <c r="A14">
        <v>-0.3</v>
      </c>
      <c r="B14">
        <f t="shared" si="0"/>
        <v>11.994999999999999</v>
      </c>
      <c r="C14">
        <f t="shared" si="2"/>
        <v>5.9887499999999996</v>
      </c>
      <c r="F14">
        <f t="shared" si="3"/>
        <v>5.5800000000000018</v>
      </c>
      <c r="G14">
        <f t="shared" si="4"/>
        <v>0.93500000000000227</v>
      </c>
    </row>
    <row r="15" spans="1:7" x14ac:dyDescent="0.25">
      <c r="A15">
        <v>0</v>
      </c>
      <c r="B15">
        <f t="shared" si="0"/>
        <v>12</v>
      </c>
      <c r="C15">
        <f t="shared" si="2"/>
        <v>6</v>
      </c>
      <c r="G15">
        <f t="shared" si="4"/>
        <v>3.5</v>
      </c>
    </row>
    <row r="16" spans="1:7" x14ac:dyDescent="0.25">
      <c r="A16">
        <v>0.2</v>
      </c>
      <c r="B16">
        <f t="shared" si="0"/>
        <v>11.997777777777777</v>
      </c>
      <c r="C16">
        <f t="shared" si="2"/>
        <v>5.9950000000000001</v>
      </c>
      <c r="G16">
        <f t="shared" si="4"/>
        <v>5.360000000000003</v>
      </c>
    </row>
    <row r="17" spans="1:5" x14ac:dyDescent="0.25">
      <c r="A17">
        <v>1</v>
      </c>
      <c r="B17">
        <f t="shared" si="0"/>
        <v>11.944444444444445</v>
      </c>
      <c r="C17">
        <f t="shared" si="2"/>
        <v>5.875</v>
      </c>
    </row>
    <row r="18" spans="1:5" x14ac:dyDescent="0.25">
      <c r="A18">
        <v>2</v>
      </c>
      <c r="B18">
        <f t="shared" si="0"/>
        <v>11.777777777777779</v>
      </c>
      <c r="C18">
        <f t="shared" si="2"/>
        <v>5.5</v>
      </c>
    </row>
    <row r="19" spans="1:5" x14ac:dyDescent="0.25">
      <c r="A19">
        <v>3</v>
      </c>
      <c r="B19">
        <f t="shared" si="0"/>
        <v>11.5</v>
      </c>
      <c r="C19">
        <f t="shared" si="2"/>
        <v>4.875</v>
      </c>
    </row>
    <row r="20" spans="1:5" x14ac:dyDescent="0.25">
      <c r="A20">
        <v>4</v>
      </c>
      <c r="B20">
        <f t="shared" si="0"/>
        <v>11.111111111111111</v>
      </c>
      <c r="C20">
        <f t="shared" si="2"/>
        <v>4</v>
      </c>
      <c r="E20">
        <f>-(1/8)*(A20-8)^2+6</f>
        <v>4</v>
      </c>
    </row>
    <row r="21" spans="1:5" x14ac:dyDescent="0.25">
      <c r="A21">
        <v>5</v>
      </c>
      <c r="B21">
        <f t="shared" si="0"/>
        <v>10.611111111111111</v>
      </c>
      <c r="E21">
        <f t="shared" ref="E21:E28" si="5">-(1/8)*(A21-8)^2+6</f>
        <v>4.875</v>
      </c>
    </row>
    <row r="22" spans="1:5" x14ac:dyDescent="0.25">
      <c r="A22">
        <v>6</v>
      </c>
      <c r="B22">
        <f t="shared" si="0"/>
        <v>10</v>
      </c>
      <c r="E22">
        <f t="shared" si="5"/>
        <v>5.5</v>
      </c>
    </row>
    <row r="23" spans="1:5" x14ac:dyDescent="0.25">
      <c r="A23">
        <v>7</v>
      </c>
      <c r="B23">
        <f t="shared" si="0"/>
        <v>9.2777777777777786</v>
      </c>
      <c r="E23">
        <f t="shared" si="5"/>
        <v>5.875</v>
      </c>
    </row>
    <row r="24" spans="1:5" x14ac:dyDescent="0.25">
      <c r="A24">
        <v>8</v>
      </c>
      <c r="B24">
        <f t="shared" si="0"/>
        <v>8.4444444444444446</v>
      </c>
      <c r="E24">
        <f t="shared" si="5"/>
        <v>6</v>
      </c>
    </row>
    <row r="25" spans="1:5" x14ac:dyDescent="0.25">
      <c r="A25">
        <v>9</v>
      </c>
      <c r="B25">
        <f t="shared" si="0"/>
        <v>7.5</v>
      </c>
      <c r="E25">
        <f t="shared" si="5"/>
        <v>5.875</v>
      </c>
    </row>
    <row r="26" spans="1:5" x14ac:dyDescent="0.25">
      <c r="A26">
        <v>10</v>
      </c>
      <c r="B26">
        <f t="shared" si="0"/>
        <v>6.4444444444444446</v>
      </c>
      <c r="E26">
        <f t="shared" si="5"/>
        <v>5.5</v>
      </c>
    </row>
    <row r="27" spans="1:5" x14ac:dyDescent="0.25">
      <c r="A27">
        <v>11</v>
      </c>
      <c r="B27">
        <f t="shared" si="0"/>
        <v>5.2777777777777786</v>
      </c>
      <c r="E27">
        <f t="shared" si="5"/>
        <v>4.875</v>
      </c>
    </row>
    <row r="28" spans="1:5" x14ac:dyDescent="0.25">
      <c r="A28">
        <v>12</v>
      </c>
      <c r="B28">
        <f t="shared" si="0"/>
        <v>4</v>
      </c>
      <c r="E28">
        <f t="shared" si="5"/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J29" sqref="J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-9</v>
      </c>
      <c r="B2">
        <f>-(1/16)*(A2+5)^2+2</f>
        <v>1</v>
      </c>
      <c r="D2">
        <f>(1/4)*(A2+5)^2-3</f>
        <v>1</v>
      </c>
      <c r="F2">
        <f>-(A2+7)^2+5</f>
        <v>9</v>
      </c>
    </row>
    <row r="3" spans="1:8" x14ac:dyDescent="0.25">
      <c r="A3">
        <v>-8</v>
      </c>
      <c r="B3">
        <f t="shared" ref="B3:B10" si="0">-(1/16)*(A3+5)^2+2</f>
        <v>1.4375</v>
      </c>
      <c r="D3">
        <f t="shared" ref="D3:D10" si="1">(1/4)*(A3+5)^2-3</f>
        <v>-0.75</v>
      </c>
      <c r="F3">
        <f t="shared" ref="F3:F5" si="2">-(A3+7)^2+5</f>
        <v>6</v>
      </c>
    </row>
    <row r="4" spans="1:8" x14ac:dyDescent="0.25">
      <c r="A4">
        <v>-7</v>
      </c>
      <c r="B4">
        <f t="shared" si="0"/>
        <v>1.75</v>
      </c>
      <c r="D4">
        <f t="shared" si="1"/>
        <v>-2</v>
      </c>
      <c r="F4">
        <f t="shared" si="2"/>
        <v>5</v>
      </c>
    </row>
    <row r="5" spans="1:8" x14ac:dyDescent="0.25">
      <c r="A5">
        <v>-6</v>
      </c>
      <c r="B5">
        <f t="shared" si="0"/>
        <v>1.9375</v>
      </c>
      <c r="D5">
        <f t="shared" si="1"/>
        <v>-2.75</v>
      </c>
      <c r="F5">
        <f t="shared" si="2"/>
        <v>6</v>
      </c>
    </row>
    <row r="6" spans="1:8" x14ac:dyDescent="0.25">
      <c r="A6">
        <v>-5</v>
      </c>
      <c r="B6">
        <f t="shared" si="0"/>
        <v>2</v>
      </c>
      <c r="D6">
        <f t="shared" si="1"/>
        <v>-3</v>
      </c>
    </row>
    <row r="7" spans="1:8" x14ac:dyDescent="0.25">
      <c r="A7">
        <v>-4</v>
      </c>
      <c r="B7">
        <f t="shared" si="0"/>
        <v>1.9375</v>
      </c>
      <c r="D7">
        <f t="shared" si="1"/>
        <v>-2.75</v>
      </c>
    </row>
    <row r="8" spans="1:8" x14ac:dyDescent="0.25">
      <c r="A8">
        <v>-3</v>
      </c>
      <c r="B8">
        <f t="shared" si="0"/>
        <v>1.75</v>
      </c>
      <c r="D8">
        <f t="shared" si="1"/>
        <v>-2</v>
      </c>
    </row>
    <row r="9" spans="1:8" x14ac:dyDescent="0.25">
      <c r="A9">
        <v>-2</v>
      </c>
      <c r="B9">
        <f t="shared" si="0"/>
        <v>1.4375</v>
      </c>
      <c r="D9">
        <f t="shared" si="1"/>
        <v>-0.75</v>
      </c>
    </row>
    <row r="10" spans="1:8" x14ac:dyDescent="0.25">
      <c r="A10">
        <v>-1</v>
      </c>
      <c r="B10">
        <f t="shared" si="0"/>
        <v>1</v>
      </c>
      <c r="D10">
        <f t="shared" si="1"/>
        <v>1</v>
      </c>
      <c r="H10">
        <f>-0.5*(A10)^2+1.5</f>
        <v>1</v>
      </c>
    </row>
    <row r="11" spans="1:8" x14ac:dyDescent="0.25">
      <c r="A11">
        <v>0</v>
      </c>
      <c r="H11">
        <f t="shared" ref="H11:H12" si="3">-0.5*(A11)^2+1.5</f>
        <v>1.5</v>
      </c>
    </row>
    <row r="12" spans="1:8" x14ac:dyDescent="0.25">
      <c r="A12">
        <v>1</v>
      </c>
      <c r="C12">
        <f>-(1/16)*(A12-5)^2+2</f>
        <v>1</v>
      </c>
      <c r="E12">
        <f>(1/4)*(A12-5)^2-3</f>
        <v>1</v>
      </c>
      <c r="H12">
        <f t="shared" si="3"/>
        <v>1</v>
      </c>
    </row>
    <row r="13" spans="1:8" x14ac:dyDescent="0.25">
      <c r="A13">
        <v>2</v>
      </c>
      <c r="C13">
        <f t="shared" ref="C13:C20" si="4">-(1/16)*(A13-5)^2+2</f>
        <v>1.4375</v>
      </c>
      <c r="E13">
        <f t="shared" ref="E13:E20" si="5">(1/4)*(A13-5)^2-3</f>
        <v>-0.75</v>
      </c>
    </row>
    <row r="14" spans="1:8" x14ac:dyDescent="0.25">
      <c r="A14">
        <v>3</v>
      </c>
      <c r="C14">
        <f t="shared" si="4"/>
        <v>1.75</v>
      </c>
      <c r="E14">
        <f t="shared" si="5"/>
        <v>-2</v>
      </c>
    </row>
    <row r="15" spans="1:8" x14ac:dyDescent="0.25">
      <c r="A15">
        <v>4</v>
      </c>
      <c r="C15">
        <f t="shared" si="4"/>
        <v>1.9375</v>
      </c>
      <c r="E15">
        <f t="shared" si="5"/>
        <v>-2.75</v>
      </c>
    </row>
    <row r="16" spans="1:8" x14ac:dyDescent="0.25">
      <c r="A16">
        <v>5</v>
      </c>
      <c r="C16">
        <f t="shared" si="4"/>
        <v>2</v>
      </c>
      <c r="E16">
        <f t="shared" si="5"/>
        <v>-3</v>
      </c>
    </row>
    <row r="17" spans="1:7" x14ac:dyDescent="0.25">
      <c r="A17">
        <v>6</v>
      </c>
      <c r="C17">
        <f t="shared" si="4"/>
        <v>1.9375</v>
      </c>
      <c r="E17">
        <f t="shared" si="5"/>
        <v>-2.75</v>
      </c>
      <c r="G17">
        <f>-(A17-7)^2+5</f>
        <v>6</v>
      </c>
    </row>
    <row r="18" spans="1:7" x14ac:dyDescent="0.25">
      <c r="A18">
        <v>7</v>
      </c>
      <c r="C18">
        <f t="shared" si="4"/>
        <v>1.75</v>
      </c>
      <c r="E18">
        <f t="shared" si="5"/>
        <v>-2</v>
      </c>
      <c r="G18">
        <f t="shared" ref="G18:G20" si="6">-(A18-7)^2+5</f>
        <v>5</v>
      </c>
    </row>
    <row r="19" spans="1:7" x14ac:dyDescent="0.25">
      <c r="A19">
        <v>8</v>
      </c>
      <c r="C19">
        <f t="shared" si="4"/>
        <v>1.4375</v>
      </c>
      <c r="E19">
        <f t="shared" si="5"/>
        <v>-0.75</v>
      </c>
      <c r="G19">
        <f t="shared" si="6"/>
        <v>6</v>
      </c>
    </row>
    <row r="20" spans="1:7" x14ac:dyDescent="0.25">
      <c r="A20">
        <v>9</v>
      </c>
      <c r="C20">
        <f t="shared" si="4"/>
        <v>1</v>
      </c>
      <c r="E20">
        <f t="shared" si="5"/>
        <v>1</v>
      </c>
      <c r="G20">
        <f t="shared" si="6"/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2025-12-24T03:35:50Z</dcterms:modified>
</cp:coreProperties>
</file>